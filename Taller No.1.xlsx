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 1" sheetId="1" r:id="rId5"/>
    <sheet state="visible" name="Ejercicio 2" sheetId="2" r:id="rId6"/>
    <sheet state="visible" name="Ejercicio 3" sheetId="3" r:id="rId7"/>
    <sheet state="visible" name="Ejercicio 4" sheetId="4" r:id="rId8"/>
    <sheet state="visible" name="Ejercicio 5" sheetId="5" r:id="rId9"/>
  </sheets>
  <definedNames/>
  <calcPr/>
</workbook>
</file>

<file path=xl/sharedStrings.xml><?xml version="1.0" encoding="utf-8"?>
<sst xmlns="http://schemas.openxmlformats.org/spreadsheetml/2006/main" count="142" uniqueCount="94">
  <si>
    <t>EJERCICIO 1: EL VALOR DEL DINERO EN EL TIEMPO (Compra de equipo)</t>
  </si>
  <si>
    <t xml:space="preserve">Descripción del Problema:
Usted es un estudiante de 5º semestre y necesita adquirir un computador portátil de alto rendimiento para sus proyectos de desarrollo de software. El equipo tiene un precio de contado de $4.500.000 COP. Una tienda de tecnología le ofrece dos opciones: pagar el valor total hoy o diferir el pago a 12 meses sin cuota de manejo, pero aplicando una tasa de interés simple del 2% mensual sobre el valor inicial. Por otro lado, usted tiene la opción de invertir ese dinero en una cuenta de ahorros que reconoce un 10% EA (Efectivo Anual).
</t>
  </si>
  <si>
    <t xml:space="preserve">Análisis:
El estudiante debe identificar las variables económicas (VP, VF, n, i), diferenciar conceptualmente entre interés simple y compuesto, y determinar el costo de oportunidad de no invertir el dinero.
</t>
  </si>
  <si>
    <t>VP</t>
  </si>
  <si>
    <t>n</t>
  </si>
  <si>
    <t>12 meses / 1 año</t>
  </si>
  <si>
    <t>i (credito)</t>
  </si>
  <si>
    <t>2% Mensual</t>
  </si>
  <si>
    <t>i (ahorro)</t>
  </si>
  <si>
    <t>10% EA</t>
  </si>
  <si>
    <t>¿Cuál es el valor futuro que terminaría pagando por el computador si acepta la financiación a 12 meses con interés simple?</t>
  </si>
  <si>
    <t>VF = VP x (1 + (i x n))  Formula del VF para el Crédito con Interés Simple (2% mensual).</t>
  </si>
  <si>
    <t>El valor futuro que terminaría pagando por el computador portátil si acepta la financiación es de $5.580.000 COP.</t>
  </si>
  <si>
    <t>VF</t>
  </si>
  <si>
    <t>i</t>
  </si>
  <si>
    <t>Si usted decide pagar de contado e invertir el dinero que no gastó (asumiendo que tuviera el dinero) en la cuenta de ahorros al 10% EA, ¿cuánto dinero tendría al final de los 12 meses?</t>
  </si>
  <si>
    <t>VF = VP x (1 + i)^n   Formula del VF para el Ahorro con Interés Compuesto (10% EA).</t>
  </si>
  <si>
    <t>Basado en los cálculos anteriores, ¿cuál es la decisión financieramente más conveniente y por qué? Justifique su respuesta comparando el costo del crédito vs. el rendimiento de la inversión.</t>
  </si>
  <si>
    <t>Costo del Crédito (Bloque 1): Según la fórmula de interés simple, el valor futuro asciende a $5.580.000. Esto implica que el costo real de intereses es de $1.080.000</t>
  </si>
  <si>
    <t xml:space="preserve">COSTO DE INTERESES: </t>
  </si>
  <si>
    <t>Rendimiento de la Inversión (Bloque 2): Según la fórmula de interés compuesto al 10% EA, el valor futuro es de $4.950.000. Esto genera una ganancia de apenas $450.000</t>
  </si>
  <si>
    <t>RENDIMIENTO INVERSION:</t>
  </si>
  <si>
    <t>La decisión más conveniente es pagar de contado.</t>
  </si>
  <si>
    <t>El costo de intereses del crédito es de $1.080.000 (24% anual), mientras que la ganancia por invertir ese mismo dinero es de solo $450.000 (10% EA). Al pagar de contado, se evita una pérdida neta de $630.000, ya que el costo de la deuda supera ampliamente el rendimiento de la inversión.</t>
  </si>
  <si>
    <t>DIFERENCIA (PERDIDA):</t>
  </si>
  <si>
    <t>Como el costo es mayor que el beneficio, la única decisión lógica es evitar el gasto innecesario pagando de contado.</t>
  </si>
  <si>
    <t>EJERCICIO 2: COMPARANDO CRÉDITOS DE CONSUMO (Tasas de Interés)</t>
  </si>
  <si>
    <t>Descripción: Un estudiante de software necesita comprar un computador de $3.200.000 COP. Tiene dos opciones de préstamo simple para pagar en un solo pago al final de un mes:</t>
  </si>
  <si>
    <t>Opción A: Un banco le presta el dinero con un interés del 2.5% mensual.</t>
  </si>
  <si>
    <t>Opción B: Una tienda de tecnología le presta el dinero con un interés fijo de $96.000 COP por ese mes.</t>
  </si>
  <si>
    <t xml:space="preserve">Análisis: Comparación de una tasa porcentual frente a un valor monetario absoluto para identificar la opción más económica.
</t>
  </si>
  <si>
    <t>¿Cuánto dinero en intereses pagaría con la Opción A?</t>
  </si>
  <si>
    <t>I = P x i x n</t>
  </si>
  <si>
    <t>P</t>
  </si>
  <si>
    <t>I</t>
  </si>
  <si>
    <t>¿Qué tasa de interés mensual (en porcentaje) está cobrando la Opción B?</t>
  </si>
  <si>
    <t>i = I / P    Formula con despeje directo</t>
  </si>
  <si>
    <t>¿Cuál de las dos opciones le conviene más al estudiante y por qué?</t>
  </si>
  <si>
    <t>Concepto</t>
  </si>
  <si>
    <t>Opción A</t>
  </si>
  <si>
    <t>Opción B</t>
  </si>
  <si>
    <t>Valor del Computador (P)</t>
  </si>
  <si>
    <t>Interés en Dinero (I)</t>
  </si>
  <si>
    <t>Tasa de Interés Mensual (i)</t>
  </si>
  <si>
    <t>Valor Futuro (F)</t>
  </si>
  <si>
    <t>Conviene la Opción A.</t>
  </si>
  <si>
    <t>Aplicando el concepto de Equivalencia de la Clase 2, comparamos ambos costos en el mes 1. La Opción A ($80.000) es menor a la Opción B ($96.000). Financieramente, se elige la opción que minimice el costo del dinero, ahorrando en este caso $16.000 COP (o un 0,5% en la tasa).</t>
  </si>
  <si>
    <t>EJERCICIO 3: TASAS DE INTERÉS (Tarjeta de crédito vs. Crédito libre inversión)</t>
  </si>
  <si>
    <t>Descripción del Problema: Para equipar su hogar oficina, usted requiere financiar la compra de un escritorio ergonómico y una silla por valor de $1.200.000 COP. El banco le ofrece un "Crédito Libre Inversión" con una tasa nominal mensual del 1.5% MV (Mes Vencido). Sin embargo, usted también tiene disponible una línea de crédito en su tarjeta de crédito que cobra una tasa efectiva anual del 28% EA. Usted planea pagar la deuda en un único pago al final de 6 meses.</t>
  </si>
  <si>
    <t xml:space="preserve">Análisis: 
El estudiante debe realizar la conversión de tasas para poder compararlas homogéneamente (ambas a EA o ambas a MV). Debe analizar el impacto de la capitalización en el costo del dinero.
</t>
  </si>
  <si>
    <t>Convierta la tasa del Crédito Libre Inversión (1.5% MV) a una Tasa Efectiva Anual (EA) para poder compararla con la tarjeta de crédito.</t>
  </si>
  <si>
    <t>EA = (1 + i)^n - 1</t>
  </si>
  <si>
    <t>EA</t>
  </si>
  <si>
    <t>Calcule el valor futuro (total a pagar) al final de los 6 meses para cada una de las dos opciones (Banco vs. Tarjeta).</t>
  </si>
  <si>
    <t>Opción A: Banco (1.5% mensual)</t>
  </si>
  <si>
    <t>VF = VP x (1 + i)^n</t>
  </si>
  <si>
    <t>Opción B: Tarjeta de Crédito (28% EA)</t>
  </si>
  <si>
    <t>i = (1 + EA)^1/12 - 1</t>
  </si>
  <si>
    <t>&lt;- 1/12</t>
  </si>
  <si>
    <t>¿Qué opción de financiación debería elegir? Explique cómo la diferencia en las tasas impacta el bolsillo del consumidor colombiano promedio.s</t>
  </si>
  <si>
    <t>Debe elegir el Crédito de Libre Inversión (Banco).</t>
  </si>
  <si>
    <t xml:space="preserve">La diferencia entre las dos opciones es de: </t>
  </si>
  <si>
    <t>($1,357,645 - $1,312,132) en solo 6 meses.</t>
  </si>
  <si>
    <t>Opción A (Banco)</t>
  </si>
  <si>
    <t>Opción B (Tarjeta)</t>
  </si>
  <si>
    <t>Capital (VP)</t>
  </si>
  <si>
    <t>Tasa Base</t>
  </si>
  <si>
    <t>Tasa Mensual (i)</t>
  </si>
  <si>
    <t>Valor Futuro (6m)</t>
  </si>
  <si>
    <t>Diferencia</t>
  </si>
  <si>
    <t>EJERCICIO 4: EL COSTO DE UN SERVIDOR (Valor presente)</t>
  </si>
  <si>
    <t xml:space="preserve">Descripción: Una empresa de hosting en Bogotá le ofrece a un startup un descuento si paga hoy su servicio de los próximos 12 meses. El startup sabe que, si paga mes a mes, terminará pagando un total de $2.400.000 COP al final del año. El dueño del startup dice: "Prefiero darte $2.100.000 COP ya mismo".
</t>
  </si>
  <si>
    <t xml:space="preserve">Análisis: Determinar si un pago inmediato menor es equivalente o preferible a un valor futuro mayor.
</t>
  </si>
  <si>
    <t>Si la tasa de interés del mercado es del 1% mensual, ¿cuánto valen hoy (Valor Presente) esos $2.400.000 COP que se pagarían en un año?</t>
  </si>
  <si>
    <t>P = F / (1 + i)^n</t>
  </si>
  <si>
    <t>F</t>
  </si>
  <si>
    <t>¿Le conviene al dueño del hosting aceptar los $2.100.000 COP hoy o es mejor esperar a recibir el total mes a mes?</t>
  </si>
  <si>
    <t>No le conviene aceptar la oferta.</t>
  </si>
  <si>
    <t>El contrato de $2.400.000 en un año equivale a tener hoy $2.129.876. Si el dueño acepta los $2.100.000 que ofrece el startup, estaría recibiendo un monto inferior al valor real de su contrato hoy. Estaría perdiendo $29.876 COP ($2.129.876 - $2.100.000) en términos de valor presente. Para que el negocio fuera justo o favorable para el dueño del hosting, el startup debería ofrecerle como mínimo $2.129.876 hoy.</t>
  </si>
  <si>
    <t>¿Qué tasa de interés del mercado debe de tener para que el valor presente y el valor futuro equivalentes?</t>
  </si>
  <si>
    <t>i = ((F / P)^1/n) - 1</t>
  </si>
  <si>
    <t>EJERCICIO 5: INVERSIÓN EN HARDWARE (Interés Simple)</t>
  </si>
  <si>
    <t xml:space="preserve">Descripción: 
Un café Internet compra 5 laptop por un valor total de $1.500.000 COP cada uno, usando una tarjeta de crédito. La tarjeta cobra una tasa de interés del 2.1% mensual. El dueño planea pagar la totalidad de la deuda en una sola cuota a los 3 meses.
</t>
  </si>
  <si>
    <t>Análisis:</t>
  </si>
  <si>
    <t>Aplicación de la fórmula de interés para un periodo corto.</t>
  </si>
  <si>
    <t>¿A cuánto ascienden los intereses acumulados durante los 3 meses?</t>
  </si>
  <si>
    <t>¿Cuál es el valor total que debe pagar el dueño del café al tercer mes para liquidar la deuda?</t>
  </si>
  <si>
    <t>F = P + I</t>
  </si>
  <si>
    <t>Si el dueño hubiera pagado en el mes 1, ¿cuánto dinero en intereses se habría ahorrado respecto al mes 3?</t>
  </si>
  <si>
    <t>Ahorro = Intereses (3 meses) - Intereses (1 mes)</t>
  </si>
  <si>
    <t>El dueño se habría ahorrado $315.000 COP en intereses si hubiera liquidado la deuda en el primer mes.</t>
  </si>
  <si>
    <t>Intereses (3 meses)</t>
  </si>
  <si>
    <t>Intereses (1 mes)</t>
  </si>
  <si>
    <t>Ahorro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</si>
</sst>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0.0%"/>
    <numFmt numFmtId="166" formatCode="0.000%"/>
  </numFmts>
  <fonts count="9">
    <font>
      <sz val="10.0"/>
      <color rgb="FF000000"/>
      <name val="Arial"/>
      <scheme val="minor"/>
    </font>
    <font>
      <color theme="1"/>
      <name val="Google Sans Text"/>
    </font>
    <font>
      <b/>
      <sz val="11.0"/>
      <color rgb="FF000000"/>
      <name val="Google Sans Text"/>
    </font>
    <font>
      <sz val="11.0"/>
      <color rgb="FF000000"/>
      <name val="Google Sans Text"/>
    </font>
    <font/>
    <font>
      <b/>
      <color theme="1"/>
      <name val="Google Sans Text"/>
    </font>
    <font>
      <sz val="11.0"/>
      <color theme="1"/>
      <name val="Google Sans Text"/>
    </font>
    <font>
      <color rgb="FF000000"/>
      <name val="Google Sans Text"/>
    </font>
    <font>
      <sz val="10.0"/>
      <color theme="1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  <xf borderId="0" fillId="0" fontId="3" numFmtId="0" xfId="0" applyAlignment="1" applyFont="1">
      <alignment readingOrder="0"/>
    </xf>
    <xf borderId="2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3" fillId="0" fontId="4" numFmtId="0" xfId="0" applyBorder="1" applyFont="1"/>
    <xf borderId="1" fillId="0" fontId="5" numFmtId="0" xfId="0" applyAlignment="1" applyBorder="1" applyFont="1">
      <alignment readingOrder="0"/>
    </xf>
    <xf borderId="1" fillId="0" fontId="5" numFmtId="164" xfId="0" applyBorder="1" applyFont="1" applyNumberFormat="1"/>
    <xf borderId="4" fillId="0" fontId="4" numFmtId="0" xfId="0" applyBorder="1" applyFont="1"/>
    <xf borderId="1" fillId="0" fontId="1" numFmtId="9" xfId="0" applyAlignment="1" applyBorder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5" fillId="0" fontId="1" numFmtId="0" xfId="0" applyAlignment="1" applyBorder="1" applyFont="1">
      <alignment horizontal="center" readingOrder="0"/>
    </xf>
    <xf borderId="6" fillId="0" fontId="4" numFmtId="0" xfId="0" applyBorder="1" applyFont="1"/>
    <xf borderId="1" fillId="0" fontId="1" numFmtId="164" xfId="0" applyAlignment="1" applyBorder="1" applyFont="1" applyNumberFormat="1">
      <alignment horizontal="center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readingOrder="0"/>
    </xf>
    <xf borderId="1" fillId="0" fontId="5" numFmtId="165" xfId="0" applyBorder="1" applyFont="1" applyNumberFormat="1"/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2" fontId="1" numFmtId="164" xfId="0" applyAlignment="1" applyBorder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2" fontId="1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1" fillId="2" fontId="1" numFmtId="165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Font="1"/>
    <xf borderId="1" fillId="0" fontId="5" numFmtId="10" xfId="0" applyBorder="1" applyFont="1" applyNumberFormat="1"/>
    <xf borderId="5" fillId="0" fontId="1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10" xfId="0" applyAlignment="1" applyBorder="1" applyFont="1" applyNumberFormat="1">
      <alignment readingOrder="0"/>
    </xf>
    <xf borderId="0" fillId="0" fontId="5" numFmtId="164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readingOrder="0"/>
    </xf>
    <xf borderId="1" fillId="2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1" fillId="2" fontId="1" numFmtId="165" xfId="0" applyBorder="1" applyFont="1" applyNumberFormat="1"/>
    <xf borderId="1" fillId="0" fontId="1" numFmtId="165" xfId="0" applyBorder="1" applyFont="1" applyNumberFormat="1"/>
    <xf borderId="1" fillId="0" fontId="1" numFmtId="10" xfId="0" applyBorder="1" applyFont="1" applyNumberFormat="1"/>
    <xf borderId="1" fillId="2" fontId="1" numFmtId="164" xfId="0" applyBorder="1" applyFont="1" applyNumberFormat="1"/>
    <xf borderId="1" fillId="2" fontId="1" numFmtId="0" xfId="0" applyBorder="1" applyFont="1"/>
    <xf borderId="0" fillId="0" fontId="1" numFmtId="0" xfId="0" applyAlignment="1" applyFont="1">
      <alignment shrinkToFit="0" vertical="center" wrapText="1"/>
    </xf>
    <xf borderId="1" fillId="0" fontId="1" numFmtId="3" xfId="0" applyAlignment="1" applyBorder="1" applyFont="1" applyNumberFormat="1">
      <alignment readingOrder="0"/>
    </xf>
    <xf borderId="1" fillId="0" fontId="5" numFmtId="166" xfId="0" applyAlignment="1" applyBorder="1" applyFont="1" applyNumberFormat="1">
      <alignment readingOrder="0"/>
    </xf>
    <xf borderId="0" fillId="0" fontId="6" numFmtId="0" xfId="0" applyAlignment="1" applyFont="1">
      <alignment readingOrder="0" shrinkToFit="0" wrapText="1"/>
    </xf>
    <xf borderId="2" fillId="0" fontId="7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7.75"/>
    <col customWidth="1" min="4" max="4" width="13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</v>
      </c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K6" s="3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5" t="s">
        <v>3</v>
      </c>
      <c r="D15" s="6">
        <v>4500000.0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5" t="s">
        <v>4</v>
      </c>
      <c r="D16" s="5" t="s">
        <v>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5" t="s">
        <v>6</v>
      </c>
      <c r="D17" s="7" t="s">
        <v>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5" t="s">
        <v>8</v>
      </c>
      <c r="D18" s="7" t="s">
        <v>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" t="s">
        <v>10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9" t="s">
        <v>11</v>
      </c>
      <c r="D22" s="5" t="s">
        <v>3</v>
      </c>
      <c r="E22" s="6">
        <v>4500000.0</v>
      </c>
      <c r="F22" s="1"/>
      <c r="G22" s="10" t="s">
        <v>12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1"/>
      <c r="D23" s="12" t="s">
        <v>13</v>
      </c>
      <c r="E23" s="13">
        <f>E22*(1+(E25*E24))</f>
        <v>5580000</v>
      </c>
      <c r="F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1"/>
      <c r="D24" s="5" t="s">
        <v>4</v>
      </c>
      <c r="E24" s="5">
        <v>12.0</v>
      </c>
      <c r="F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4"/>
      <c r="D25" s="5" t="s">
        <v>14</v>
      </c>
      <c r="E25" s="15">
        <v>0.02</v>
      </c>
      <c r="F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6" t="s">
        <v>15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9" t="s">
        <v>16</v>
      </c>
      <c r="D30" s="5" t="s">
        <v>3</v>
      </c>
      <c r="E30" s="6">
        <v>4500000.0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1"/>
      <c r="D31" s="12" t="s">
        <v>13</v>
      </c>
      <c r="E31" s="13">
        <f>E30*((1+E33)^E32)</f>
        <v>4950000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1"/>
      <c r="D32" s="5" t="s">
        <v>4</v>
      </c>
      <c r="E32" s="5">
        <v>1.0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4"/>
      <c r="D33" s="5" t="s">
        <v>14</v>
      </c>
      <c r="E33" s="15">
        <v>0.1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6" t="s">
        <v>17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0" t="s">
        <v>18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7" t="s">
        <v>19</v>
      </c>
      <c r="E41" s="18"/>
      <c r="F41" s="19">
        <f>E23-E22</f>
        <v>1080000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0" t="s">
        <v>20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7" t="s">
        <v>21</v>
      </c>
      <c r="E46" s="18"/>
      <c r="F46" s="19">
        <f>E31-E30</f>
        <v>450000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20" t="s">
        <v>22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0" t="s">
        <v>23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21"/>
      <c r="E52" s="21"/>
      <c r="F52" s="2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7" t="s">
        <v>19</v>
      </c>
      <c r="E53" s="18"/>
      <c r="F53" s="19">
        <f>E23-E22</f>
        <v>1080000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7" t="s">
        <v>21</v>
      </c>
      <c r="E54" s="18"/>
      <c r="F54" s="19">
        <f>E31-E30</f>
        <v>450000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7" t="s">
        <v>24</v>
      </c>
      <c r="E55" s="18"/>
      <c r="F55" s="19">
        <f>F54-F53</f>
        <v>-630000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23" t="s">
        <v>25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9">
    <mergeCell ref="B2:G2"/>
    <mergeCell ref="B4:J9"/>
    <mergeCell ref="B10:J13"/>
    <mergeCell ref="B20:I20"/>
    <mergeCell ref="C22:C25"/>
    <mergeCell ref="G22:I25"/>
    <mergeCell ref="B27:J28"/>
    <mergeCell ref="D46:E46"/>
    <mergeCell ref="D53:E53"/>
    <mergeCell ref="D54:E54"/>
    <mergeCell ref="D55:E55"/>
    <mergeCell ref="C30:C33"/>
    <mergeCell ref="B35:J36"/>
    <mergeCell ref="C38:J39"/>
    <mergeCell ref="D41:E41"/>
    <mergeCell ref="C43:J44"/>
    <mergeCell ref="C48:E48"/>
    <mergeCell ref="C49:J51"/>
    <mergeCell ref="C57:I5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26</v>
      </c>
      <c r="G2" s="24"/>
      <c r="H2" s="24"/>
      <c r="I2" s="24"/>
      <c r="J2" s="24"/>
      <c r="K2" s="2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24"/>
      <c r="C3" s="24"/>
      <c r="D3" s="24"/>
      <c r="E3" s="24"/>
      <c r="F3" s="24"/>
      <c r="G3" s="24"/>
      <c r="H3" s="24"/>
      <c r="I3" s="24"/>
      <c r="J3" s="24"/>
      <c r="K3" s="2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24" t="s">
        <v>27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2" t="s">
        <v>28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2" t="s">
        <v>29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8.0" customHeight="1">
      <c r="A10" s="1"/>
      <c r="B10" s="1"/>
      <c r="C10" s="25" t="s">
        <v>30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26"/>
      <c r="D11" s="26"/>
      <c r="E11" s="26"/>
      <c r="F11" s="26"/>
      <c r="G11" s="26"/>
      <c r="H11" s="26"/>
      <c r="I11" s="26"/>
      <c r="J11" s="26"/>
      <c r="K11" s="2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8" t="s">
        <v>31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27" t="s">
        <v>32</v>
      </c>
      <c r="E14" s="5" t="s">
        <v>33</v>
      </c>
      <c r="F14" s="6">
        <v>3200000.0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1"/>
      <c r="E15" s="5" t="s">
        <v>14</v>
      </c>
      <c r="F15" s="28">
        <v>0.025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1"/>
      <c r="E16" s="5" t="s">
        <v>4</v>
      </c>
      <c r="F16" s="5">
        <v>1.0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4"/>
      <c r="E17" s="12" t="s">
        <v>34</v>
      </c>
      <c r="F17" s="13">
        <f>F14*F15*F16</f>
        <v>80000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8" t="s">
        <v>35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27" t="s">
        <v>36</v>
      </c>
      <c r="E21" s="5" t="s">
        <v>33</v>
      </c>
      <c r="F21" s="6">
        <v>3200000.0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1"/>
      <c r="E22" s="5" t="s">
        <v>34</v>
      </c>
      <c r="F22" s="6">
        <v>96000.0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4"/>
      <c r="E23" s="12" t="s">
        <v>14</v>
      </c>
      <c r="F23" s="29">
        <f>F22/F21</f>
        <v>0.03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8" t="s">
        <v>37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30" t="s">
        <v>38</v>
      </c>
      <c r="E27" s="31" t="s">
        <v>39</v>
      </c>
      <c r="F27" s="32" t="s">
        <v>40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33" t="s">
        <v>41</v>
      </c>
      <c r="E28" s="34">
        <v>3200000.0</v>
      </c>
      <c r="F28" s="35">
        <v>3200000.0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33" t="s">
        <v>42</v>
      </c>
      <c r="E29" s="36">
        <f>E28*E30</f>
        <v>80000</v>
      </c>
      <c r="F29" s="35">
        <v>96000.0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37" t="s">
        <v>43</v>
      </c>
      <c r="E30" s="38">
        <v>0.025</v>
      </c>
      <c r="F30" s="39">
        <f>F29/F28</f>
        <v>0.03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37" t="s">
        <v>44</v>
      </c>
      <c r="E31" s="36">
        <f t="shared" ref="E31:F31" si="1">E28+E29</f>
        <v>3280000</v>
      </c>
      <c r="F31" s="40">
        <f t="shared" si="1"/>
        <v>3296000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20" t="s">
        <v>45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41" t="s">
        <v>46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1">
    <mergeCell ref="D14:D17"/>
    <mergeCell ref="D21:D23"/>
    <mergeCell ref="C25:F25"/>
    <mergeCell ref="D34:F39"/>
    <mergeCell ref="B2:F2"/>
    <mergeCell ref="B4:K5"/>
    <mergeCell ref="C7:H7"/>
    <mergeCell ref="C8:I8"/>
    <mergeCell ref="C10:K10"/>
    <mergeCell ref="C12:F12"/>
    <mergeCell ref="C19:G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  <col customWidth="1" min="4" max="4" width="16.5"/>
    <col customWidth="1" min="5" max="5" width="14.13"/>
    <col customWidth="1" min="6" max="6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47</v>
      </c>
      <c r="H2" s="42"/>
      <c r="I2" s="42"/>
      <c r="J2" s="42"/>
      <c r="K2" s="4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2"/>
      <c r="C3" s="42"/>
      <c r="D3" s="42"/>
      <c r="E3" s="42"/>
      <c r="F3" s="42"/>
      <c r="G3" s="42"/>
      <c r="H3" s="42"/>
      <c r="I3" s="42"/>
      <c r="J3" s="42"/>
      <c r="K3" s="4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2" t="s">
        <v>48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2" t="s">
        <v>49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8" t="s">
        <v>50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27" t="s">
        <v>51</v>
      </c>
      <c r="E14" s="5" t="s">
        <v>14</v>
      </c>
      <c r="F14" s="28">
        <v>0.015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1"/>
      <c r="E15" s="5" t="s">
        <v>4</v>
      </c>
      <c r="F15" s="5">
        <v>12.0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4"/>
      <c r="E16" s="12" t="s">
        <v>52</v>
      </c>
      <c r="F16" s="44">
        <f>(((1+F14)^F15)-1)</f>
        <v>0.1956181715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8" t="s">
        <v>53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45" t="s">
        <v>54</v>
      </c>
      <c r="E20" s="46"/>
      <c r="F20" s="1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27" t="s">
        <v>55</v>
      </c>
      <c r="E21" s="5" t="s">
        <v>3</v>
      </c>
      <c r="F21" s="6">
        <v>1200000.0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1"/>
      <c r="E22" s="5" t="s">
        <v>4</v>
      </c>
      <c r="F22" s="5">
        <v>6.0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1"/>
      <c r="E23" s="5" t="s">
        <v>14</v>
      </c>
      <c r="F23" s="28">
        <v>0.015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4"/>
      <c r="E24" s="12" t="s">
        <v>13</v>
      </c>
      <c r="F24" s="13">
        <f>F21*((1+F23)^F22)</f>
        <v>1312131.917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23" t="s">
        <v>56</v>
      </c>
      <c r="E26" s="23"/>
      <c r="F26" s="4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48"/>
      <c r="E27" s="23"/>
      <c r="F27" s="4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27" t="s">
        <v>57</v>
      </c>
      <c r="E28" s="5" t="s">
        <v>52</v>
      </c>
      <c r="F28" s="28">
        <v>0.28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1"/>
      <c r="E29" s="5" t="s">
        <v>4</v>
      </c>
      <c r="F29" s="5">
        <f>1/12</f>
        <v>0.08333333333</v>
      </c>
      <c r="G29" s="21" t="s">
        <v>58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4"/>
      <c r="E30" s="12" t="s">
        <v>14</v>
      </c>
      <c r="F30" s="44">
        <f>(((1+F28)^F29)-1)</f>
        <v>0.02078472849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27" t="s">
        <v>55</v>
      </c>
      <c r="E32" s="5" t="s">
        <v>3</v>
      </c>
      <c r="F32" s="6">
        <v>1200000.0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1"/>
      <c r="E33" s="5" t="s">
        <v>4</v>
      </c>
      <c r="F33" s="5">
        <v>6.0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1"/>
      <c r="E34" s="5" t="s">
        <v>14</v>
      </c>
      <c r="F34" s="49">
        <f>F30</f>
        <v>0.02078472849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4"/>
      <c r="E35" s="12" t="s">
        <v>13</v>
      </c>
      <c r="F35" s="13">
        <f>F32*((1+F34)^F33)</f>
        <v>1357645.02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8" t="s">
        <v>59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20" t="s">
        <v>60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20" t="s">
        <v>61</v>
      </c>
      <c r="G40" s="50">
        <f>F35-F24</f>
        <v>45513.10315</v>
      </c>
      <c r="H40" s="20" t="s">
        <v>62</v>
      </c>
      <c r="I40" s="20"/>
      <c r="J40" s="2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51" t="s">
        <v>38</v>
      </c>
      <c r="E42" s="52" t="s">
        <v>63</v>
      </c>
      <c r="F42" s="5" t="s">
        <v>64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5" t="s">
        <v>65</v>
      </c>
      <c r="E43" s="53">
        <v>1200000.0</v>
      </c>
      <c r="F43" s="54">
        <f>E43</f>
        <v>1200000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5" t="s">
        <v>66</v>
      </c>
      <c r="E44" s="55">
        <f>F23</f>
        <v>0.015</v>
      </c>
      <c r="F44" s="56">
        <f>F28</f>
        <v>0.28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5" t="s">
        <v>67</v>
      </c>
      <c r="E45" s="55">
        <f>E44</f>
        <v>0.015</v>
      </c>
      <c r="F45" s="57">
        <f>(1+F44)^(1/12)-1</f>
        <v>0.02078472849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5" t="s">
        <v>68</v>
      </c>
      <c r="E46" s="58">
        <f t="shared" ref="E46:F46" si="1">E43*(1+E45)^6</f>
        <v>1312131.917</v>
      </c>
      <c r="F46" s="54">
        <f t="shared" si="1"/>
        <v>1357645.02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52" t="s">
        <v>69</v>
      </c>
      <c r="E47" s="59"/>
      <c r="F47" s="58">
        <f>F46-E46</f>
        <v>45513.10315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3">
    <mergeCell ref="D21:D24"/>
    <mergeCell ref="D28:D30"/>
    <mergeCell ref="D32:D35"/>
    <mergeCell ref="C37:L37"/>
    <mergeCell ref="D39:G39"/>
    <mergeCell ref="D40:F40"/>
    <mergeCell ref="B2:G2"/>
    <mergeCell ref="B4:K7"/>
    <mergeCell ref="B9:K10"/>
    <mergeCell ref="C12:L12"/>
    <mergeCell ref="D14:D16"/>
    <mergeCell ref="C18:J18"/>
    <mergeCell ref="D20:F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2" t="s">
        <v>70</v>
      </c>
      <c r="G2" s="42"/>
      <c r="H2" s="42"/>
      <c r="I2" s="42"/>
      <c r="J2" s="42"/>
      <c r="K2" s="42"/>
      <c r="L2" s="4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/>
      <c r="B4" s="42" t="s">
        <v>71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8.5" customHeight="1">
      <c r="A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6" t="s">
        <v>72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6"/>
      <c r="C7" s="16"/>
      <c r="D7" s="16"/>
      <c r="E7" s="16"/>
      <c r="F7" s="16"/>
      <c r="G7" s="16"/>
      <c r="H7" s="16"/>
      <c r="I7" s="16"/>
      <c r="J7" s="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8" t="s">
        <v>73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6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27" t="s">
        <v>74</v>
      </c>
      <c r="E11" s="5" t="s">
        <v>75</v>
      </c>
      <c r="F11" s="6">
        <v>2400000.0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1"/>
      <c r="E12" s="5" t="s">
        <v>14</v>
      </c>
      <c r="F12" s="28">
        <v>0.01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1"/>
      <c r="E13" s="23" t="s">
        <v>4</v>
      </c>
      <c r="F13" s="5">
        <v>12.0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4"/>
      <c r="E14" s="12" t="s">
        <v>33</v>
      </c>
      <c r="F14" s="13">
        <f>((F11)/((1+F12)^F13))</f>
        <v>2129878.141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8" t="s">
        <v>76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20" t="s">
        <v>77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41" t="s">
        <v>78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8" t="s">
        <v>79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27" t="s">
        <v>80</v>
      </c>
      <c r="E26" s="5" t="s">
        <v>75</v>
      </c>
      <c r="F26" s="6">
        <v>2400000.0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1"/>
      <c r="E27" s="5" t="s">
        <v>33</v>
      </c>
      <c r="F27" s="6">
        <v>2100000.0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1"/>
      <c r="E28" s="5" t="s">
        <v>4</v>
      </c>
      <c r="F28" s="61">
        <v>12.0</v>
      </c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4"/>
      <c r="E29" s="12" t="s">
        <v>14</v>
      </c>
      <c r="F29" s="62">
        <f>((F26/F27)^(1/F28)-1)</f>
        <v>0.01118975826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0">
    <mergeCell ref="D19:J22"/>
    <mergeCell ref="C24:J24"/>
    <mergeCell ref="D26:D29"/>
    <mergeCell ref="B2:F2"/>
    <mergeCell ref="B4:L5"/>
    <mergeCell ref="B6:J6"/>
    <mergeCell ref="C9:L9"/>
    <mergeCell ref="D11:D14"/>
    <mergeCell ref="C16:K16"/>
    <mergeCell ref="D18:H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2" t="s">
        <v>81</v>
      </c>
      <c r="G2" s="63"/>
      <c r="H2" s="63"/>
      <c r="I2" s="63"/>
      <c r="J2" s="63"/>
      <c r="K2" s="6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75" customHeight="1">
      <c r="A3" s="1"/>
      <c r="B3" s="63"/>
      <c r="C3" s="63"/>
      <c r="D3" s="63"/>
      <c r="E3" s="63"/>
      <c r="F3" s="63"/>
      <c r="G3" s="63"/>
      <c r="H3" s="63"/>
      <c r="I3" s="63"/>
      <c r="J3" s="63"/>
      <c r="K3" s="6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63" t="s">
        <v>82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83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84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8" t="s">
        <v>85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27" t="s">
        <v>32</v>
      </c>
      <c r="E12" s="5" t="s">
        <v>33</v>
      </c>
      <c r="F12" s="6">
        <f>5*1500000</f>
        <v>7500000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1"/>
      <c r="E13" s="5" t="s">
        <v>14</v>
      </c>
      <c r="F13" s="28">
        <v>0.021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1"/>
      <c r="E14" s="5" t="s">
        <v>4</v>
      </c>
      <c r="F14" s="5">
        <v>3.0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4"/>
      <c r="E15" s="12" t="s">
        <v>34</v>
      </c>
      <c r="F15" s="13">
        <f>F12*F13*F14</f>
        <v>472500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8" t="s">
        <v>86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64" t="s">
        <v>87</v>
      </c>
      <c r="E19" s="5" t="s">
        <v>33</v>
      </c>
      <c r="F19" s="6">
        <f>F12</f>
        <v>7500000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1"/>
      <c r="E20" s="5" t="s">
        <v>34</v>
      </c>
      <c r="F20" s="6">
        <f>F15</f>
        <v>472500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4"/>
      <c r="E21" s="12" t="s">
        <v>75</v>
      </c>
      <c r="F21" s="13">
        <f>F19+F20</f>
        <v>7972500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8" t="s">
        <v>88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27" t="s">
        <v>32</v>
      </c>
      <c r="E25" s="5" t="s">
        <v>33</v>
      </c>
      <c r="F25" s="6">
        <f>5*1500000</f>
        <v>7500000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1"/>
      <c r="E26" s="5" t="s">
        <v>14</v>
      </c>
      <c r="F26" s="28">
        <v>0.021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1"/>
      <c r="E27" s="5" t="s">
        <v>4</v>
      </c>
      <c r="F27" s="5">
        <v>1.0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4"/>
      <c r="E28" s="12" t="s">
        <v>34</v>
      </c>
      <c r="F28" s="13">
        <f>F25*F26*F27</f>
        <v>157500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65" t="s">
        <v>89</v>
      </c>
      <c r="E30" s="46"/>
      <c r="F30" s="18"/>
      <c r="G30" s="66"/>
      <c r="H30" s="10" t="s">
        <v>90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67" t="s">
        <v>91</v>
      </c>
      <c r="E31" s="18"/>
      <c r="F31" s="54">
        <f>F20</f>
        <v>472500</v>
      </c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67" t="s">
        <v>92</v>
      </c>
      <c r="E32" s="18"/>
      <c r="F32" s="54">
        <f>F28</f>
        <v>157500</v>
      </c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68" t="s">
        <v>93</v>
      </c>
      <c r="E33" s="18"/>
      <c r="F33" s="13">
        <f>F31-F32</f>
        <v>315000</v>
      </c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5">
    <mergeCell ref="D19:D21"/>
    <mergeCell ref="C23:K23"/>
    <mergeCell ref="D25:D28"/>
    <mergeCell ref="D30:F30"/>
    <mergeCell ref="H30:I33"/>
    <mergeCell ref="D31:E31"/>
    <mergeCell ref="D32:E32"/>
    <mergeCell ref="D33:E33"/>
    <mergeCell ref="B2:F2"/>
    <mergeCell ref="B4:K6"/>
    <mergeCell ref="B7:F7"/>
    <mergeCell ref="B8:F8"/>
    <mergeCell ref="C10:H10"/>
    <mergeCell ref="D12:D15"/>
    <mergeCell ref="C17:I17"/>
  </mergeCells>
  <drawing r:id="rId1"/>
</worksheet>
</file>